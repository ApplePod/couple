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월정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원&quot;"/>
  </numFmts>
  <fonts count="6">
    <font>
      <name val="Calibri"/>
      <family val="2"/>
      <color theme="1"/>
      <sz val="11"/>
      <scheme val="minor"/>
    </font>
    <font>
      <b val="1"/>
      <sz val="11"/>
    </font>
    <font>
      <b val="1"/>
      <sz val="16"/>
    </font>
    <font>
      <color rgb="00888888"/>
      <sz val="10"/>
    </font>
    <font>
      <sz val="11"/>
    </font>
    <font>
      <b val="1"/>
      <color rgb="00333333"/>
      <sz val="12"/>
    </font>
  </fonts>
  <fills count="6">
    <fill>
      <patternFill/>
    </fill>
    <fill>
      <patternFill patternType="gray125"/>
    </fill>
    <fill>
      <patternFill patternType="solid">
        <fgColor rgb="00EEF3FF"/>
      </patternFill>
    </fill>
    <fill>
      <patternFill patternType="solid">
        <fgColor rgb="00FFF9E6"/>
      </patternFill>
    </fill>
    <fill>
      <patternFill patternType="solid">
        <fgColor rgb="00E8F5E9"/>
      </patternFill>
    </fill>
    <fill>
      <patternFill patternType="solid">
        <fgColor rgb="00F3EEFF"/>
      </patternFill>
    </fill>
  </fills>
  <borders count="6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/>
      <right/>
      <top style="thin">
        <color rgb="00DDDDDD"/>
      </top>
      <bottom/>
      <diagonal/>
    </border>
    <border>
      <left/>
      <right style="thin">
        <color rgb="00DDDDDD"/>
      </right>
      <top style="thin">
        <color rgb="00DDDDDD"/>
      </top>
      <bottom/>
      <diagonal/>
    </border>
    <border>
      <left/>
      <right/>
      <top style="thin">
        <color rgb="00DDDDDD"/>
      </top>
      <bottom style="thin">
        <color rgb="00DDDDDD"/>
      </bottom>
      <diagonal/>
    </border>
    <border>
      <left/>
      <right style="thin">
        <color rgb="00DDDDDD"/>
      </right>
      <top style="thin">
        <color rgb="00DDDDDD"/>
      </top>
      <bottom style="thin">
        <color rgb="00DDDDDD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2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wrapText="1"/>
    </xf>
    <xf numFmtId="164" fontId="1" fillId="2" borderId="1" applyAlignment="1" pivotButton="0" quotePrefix="0" xfId="0">
      <alignment horizontal="right" vertical="center" wrapText="1"/>
    </xf>
    <xf numFmtId="0" fontId="1" fillId="5" borderId="1" applyAlignment="1" pivotButton="0" quotePrefix="0" xfId="0">
      <alignment horizontal="left" vertical="center" wrapText="1"/>
    </xf>
    <xf numFmtId="164" fontId="1" fillId="5" borderId="1" applyAlignment="1" pivotButton="0" quotePrefix="0" xfId="0">
      <alignment horizontal="right" vertical="center" wrapText="1"/>
    </xf>
    <xf numFmtId="0" fontId="1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right" vertical="center" wrapText="1"/>
    </xf>
    <xf numFmtId="0" fontId="1" fillId="0" borderId="1" applyAlignment="1" pivotButton="0" quotePrefix="0" xfId="0">
      <alignment horizontal="left" vertical="center" wrapText="1"/>
    </xf>
    <xf numFmtId="164" fontId="1" fillId="3" borderId="1" applyAlignment="1" pivotButton="0" quotePrefix="0" xfId="0">
      <alignment horizontal="right" vertical="center" wrapText="1"/>
    </xf>
    <xf numFmtId="0" fontId="1" fillId="4" borderId="1" applyAlignment="1" pivotButton="0" quotePrefix="0" xfId="0">
      <alignment horizontal="left" vertical="center" wrapText="1"/>
    </xf>
    <xf numFmtId="164" fontId="1" fillId="4" borderId="1" applyAlignment="1" pivotButton="0" quotePrefix="0" xfId="0">
      <alignment horizontal="right" vertical="center" wrapText="1"/>
    </xf>
    <xf numFmtId="0" fontId="5" fillId="0" borderId="1" applyAlignment="1" pivotButton="0" quotePrefix="0" xfId="0">
      <alignment horizontal="left" vertical="center" wrapText="1"/>
    </xf>
    <xf numFmtId="164" fontId="1" fillId="0" borderId="1" applyAlignment="1" pivotButton="0" quotePrefix="0" xfId="0">
      <alignment horizontal="right" vertical="center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3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8" customWidth="1" min="2" max="2"/>
    <col width="22" customWidth="1" min="3" max="3"/>
    <col width="14" customWidth="1" min="4" max="4"/>
    <col width="3" customWidth="1" min="5" max="5"/>
    <col width="18" customWidth="1" min="6" max="6"/>
    <col width="22" customWidth="1" min="7" max="7"/>
    <col width="14" customWidth="1" min="8" max="8"/>
  </cols>
  <sheetData>
    <row r="1">
      <c r="B1" s="1" t="inlineStr">
        <is>
          <t>영재 · 시온 월정산</t>
        </is>
      </c>
      <c r="C1" s="2" t="n"/>
      <c r="D1" s="2" t="n"/>
      <c r="E1" s="2" t="n"/>
      <c r="F1" s="2" t="n"/>
      <c r="G1" s="2" t="n"/>
      <c r="H1" s="3" t="n"/>
    </row>
    <row r="2">
      <c r="B2" s="4" t="inlineStr">
        <is>
          <t>7월 1일 시작 — 계좌 개설 및 입금 예정</t>
        </is>
      </c>
    </row>
    <row r="4">
      <c r="B4" s="5" t="inlineStr">
        <is>
          <t>【 영재 】  월 실수령</t>
        </is>
      </c>
      <c r="D4" s="6" t="n">
        <v>5124120</v>
      </c>
      <c r="F4" s="7" t="inlineStr">
        <is>
          <t>【 시온 】  월 실수령</t>
        </is>
      </c>
      <c r="H4" s="8" t="n">
        <v>5418470</v>
      </c>
    </row>
    <row r="5">
      <c r="B5" s="9" t="inlineStr">
        <is>
          <t>항목</t>
        </is>
      </c>
      <c r="C5" s="9" t="inlineStr">
        <is>
          <t>비고</t>
        </is>
      </c>
      <c r="D5" s="9" t="inlineStr">
        <is>
          <t>월 금액</t>
        </is>
      </c>
      <c r="F5" s="9" t="inlineStr">
        <is>
          <t>항목</t>
        </is>
      </c>
      <c r="G5" s="9" t="inlineStr">
        <is>
          <t>비고</t>
        </is>
      </c>
      <c r="H5" s="9" t="inlineStr">
        <is>
          <t>월 금액</t>
        </is>
      </c>
    </row>
    <row r="6">
      <c r="B6" s="10" t="inlineStr">
        <is>
          <t>IRP</t>
        </is>
      </c>
      <c r="C6" s="11" t="inlineStr">
        <is>
          <t>ETF 장투 · 자동이체</t>
        </is>
      </c>
      <c r="D6" s="12" t="n">
        <v>500000</v>
      </c>
      <c r="F6" s="10" t="inlineStr">
        <is>
          <t>용돈</t>
        </is>
      </c>
      <c r="G6" s="11" t="inlineStr"/>
      <c r="H6" s="12" t="n">
        <v>700000</v>
      </c>
    </row>
    <row r="7">
      <c r="B7" s="10" t="inlineStr">
        <is>
          <t>연금저축펀드</t>
        </is>
      </c>
      <c r="C7" s="11" t="inlineStr">
        <is>
          <t>고영 ETF · 자동이체</t>
        </is>
      </c>
      <c r="D7" s="12" t="n">
        <v>1000000</v>
      </c>
      <c r="F7" s="10" t="inlineStr">
        <is>
          <t>여행비</t>
        </is>
      </c>
      <c r="G7" s="11" t="inlineStr">
        <is>
          <t>국내2·해외1</t>
        </is>
      </c>
      <c r="H7" s="12" t="n">
        <v>200000</v>
      </c>
    </row>
    <row r="8">
      <c r="B8" s="10" t="inlineStr">
        <is>
          <t>청년미래적금</t>
        </is>
      </c>
      <c r="C8" s="11" t="inlineStr">
        <is>
          <t>자동이체</t>
        </is>
      </c>
      <c r="D8" s="12" t="n">
        <v>500000</v>
      </c>
      <c r="F8" s="10" t="inlineStr">
        <is>
          <t>ISA</t>
        </is>
      </c>
      <c r="G8" s="11" t="inlineStr">
        <is>
          <t>자동이체</t>
        </is>
      </c>
      <c r="H8" s="12" t="n">
        <v>500000</v>
      </c>
    </row>
    <row r="9">
      <c r="B9" s="10" t="inlineStr">
        <is>
          <t>국장 투자</t>
        </is>
      </c>
      <c r="C9" s="11" t="inlineStr"/>
      <c r="D9" s="12" t="n">
        <v>500000</v>
      </c>
      <c r="F9" s="10" t="inlineStr">
        <is>
          <t>IRP</t>
        </is>
      </c>
      <c r="G9" s="11" t="inlineStr">
        <is>
          <t>자동이체</t>
        </is>
      </c>
      <c r="H9" s="12" t="n">
        <v>500000</v>
      </c>
    </row>
    <row r="10">
      <c r="B10" s="10" t="inlineStr">
        <is>
          <t>주택청약</t>
        </is>
      </c>
      <c r="C10" s="11" t="inlineStr">
        <is>
          <t>자동이체</t>
        </is>
      </c>
      <c r="D10" s="12" t="n">
        <v>250000</v>
      </c>
      <c r="F10" s="10" t="inlineStr">
        <is>
          <t>연금저축펀드</t>
        </is>
      </c>
      <c r="G10" s="11" t="inlineStr">
        <is>
          <t>자동이체</t>
        </is>
      </c>
      <c r="H10" s="12" t="n">
        <v>1000000</v>
      </c>
    </row>
    <row r="11">
      <c r="B11" s="10" t="inlineStr">
        <is>
          <t>주거비</t>
        </is>
      </c>
      <c r="C11" s="11" t="inlineStr"/>
      <c r="D11" s="12" t="n">
        <v>750000</v>
      </c>
      <c r="F11" s="10" t="inlineStr">
        <is>
          <t>주택청약</t>
        </is>
      </c>
      <c r="G11" s="11" t="inlineStr">
        <is>
          <t>자동이체</t>
        </is>
      </c>
      <c r="H11" s="12" t="n">
        <v>250000</v>
      </c>
    </row>
    <row r="12">
      <c r="B12" s="10" t="inlineStr">
        <is>
          <t>월세 대출이자</t>
        </is>
      </c>
      <c r="C12" s="11" t="inlineStr"/>
      <c r="D12" s="12" t="n">
        <v>130000</v>
      </c>
      <c r="F12" s="10" t="inlineStr">
        <is>
          <t>청년도약적금</t>
        </is>
      </c>
      <c r="G12" s="11" t="inlineStr">
        <is>
          <t>자동이체</t>
        </is>
      </c>
      <c r="H12" s="12" t="n">
        <v>700000</v>
      </c>
    </row>
    <row r="13">
      <c r="B13" s="10" t="inlineStr">
        <is>
          <t>용돈</t>
        </is>
      </c>
      <c r="C13" s="11" t="inlineStr"/>
      <c r="D13" s="12" t="n">
        <v>700000</v>
      </c>
      <c r="F13" s="10" t="inlineStr">
        <is>
          <t>국장 투자</t>
        </is>
      </c>
      <c r="G13" s="11" t="inlineStr"/>
      <c r="H13" s="12" t="n">
        <v>300000</v>
      </c>
    </row>
    <row r="14">
      <c r="B14" s="10" t="inlineStr">
        <is>
          <t>전기세</t>
        </is>
      </c>
      <c r="C14" s="11" t="inlineStr">
        <is>
          <t>예상</t>
        </is>
      </c>
      <c r="D14" s="12" t="n">
        <v>40000</v>
      </c>
      <c r="F14" s="10" t="inlineStr">
        <is>
          <t>미국장 투자</t>
        </is>
      </c>
      <c r="G14" s="11" t="inlineStr"/>
      <c r="H14" s="12" t="n">
        <v>300000</v>
      </c>
    </row>
    <row r="15">
      <c r="B15" s="10" t="inlineStr">
        <is>
          <t>가스료</t>
        </is>
      </c>
      <c r="C15" s="11" t="inlineStr">
        <is>
          <t>예상</t>
        </is>
      </c>
      <c r="D15" s="12" t="n">
        <v>30000</v>
      </c>
      <c r="F15" s="10" t="inlineStr">
        <is>
          <t>코인 + 금</t>
        </is>
      </c>
      <c r="G15" s="11" t="inlineStr"/>
      <c r="H15" s="12" t="n">
        <v>200000</v>
      </c>
    </row>
    <row r="16">
      <c r="B16" s="10" t="inlineStr">
        <is>
          <t>수도요금</t>
        </is>
      </c>
      <c r="C16" s="11" t="inlineStr">
        <is>
          <t>예상</t>
        </is>
      </c>
      <c r="D16" s="12" t="n">
        <v>20000</v>
      </c>
      <c r="F16" s="13" t="inlineStr">
        <is>
          <t>소계</t>
        </is>
      </c>
      <c r="H16" s="14">
        <f>SUM(H6:H15)</f>
        <v/>
      </c>
    </row>
    <row r="17">
      <c r="B17" s="10" t="inlineStr">
        <is>
          <t>인터넷</t>
        </is>
      </c>
      <c r="C17" s="11" t="inlineStr">
        <is>
          <t>예상</t>
        </is>
      </c>
      <c r="D17" s="12" t="n">
        <v>35000</v>
      </c>
      <c r="F17" s="15" t="inlineStr">
        <is>
          <t>남는 돈</t>
        </is>
      </c>
      <c r="H17" s="16">
        <f>H4-H16</f>
        <v/>
      </c>
    </row>
    <row r="18">
      <c r="B18" s="10" t="inlineStr">
        <is>
          <t>윌리엄 할부</t>
        </is>
      </c>
      <c r="C18" s="11" t="inlineStr">
        <is>
          <t>780만 무이자 12개월</t>
        </is>
      </c>
      <c r="D18" s="12" t="n">
        <v>650000</v>
      </c>
    </row>
    <row r="19">
      <c r="B19" s="13" t="inlineStr">
        <is>
          <t>소계</t>
        </is>
      </c>
      <c r="D19" s="14">
        <f>SUM(D6:D18)</f>
        <v/>
      </c>
    </row>
    <row r="20">
      <c r="B20" s="15" t="inlineStr">
        <is>
          <t>남는 돈</t>
        </is>
      </c>
      <c r="D20" s="16">
        <f>D4-D19</f>
        <v/>
      </c>
    </row>
    <row r="23">
      <c r="B23" s="17" t="inlineStr">
        <is>
          <t>【 가구 합계 】</t>
        </is>
      </c>
      <c r="C23" s="3" t="n"/>
    </row>
    <row r="24">
      <c r="B24" s="10" t="inlineStr">
        <is>
          <t>실수령 합계</t>
        </is>
      </c>
      <c r="D24" s="18">
        <f>D4+H4</f>
        <v/>
      </c>
    </row>
    <row r="25">
      <c r="B25" s="10" t="inlineStr">
        <is>
          <t>지출·저축 합계</t>
        </is>
      </c>
      <c r="D25" s="14">
        <f>D19+H16</f>
        <v/>
      </c>
    </row>
    <row r="26">
      <c r="B26" s="15" t="inlineStr">
        <is>
          <t>남는 돈 합계</t>
        </is>
      </c>
      <c r="D26" s="16">
        <f>D20+H17</f>
        <v/>
      </c>
    </row>
    <row r="29">
      <c r="B29" s="17" t="inlineStr">
        <is>
          <t>영재 ISA — 목돈 7월 일시불</t>
        </is>
      </c>
      <c r="C29" s="2" t="n"/>
      <c r="D29" s="3" t="n"/>
    </row>
    <row r="30">
      <c r="B30" s="9" t="inlineStr">
        <is>
          <t>일정</t>
        </is>
      </c>
      <c r="C30" s="9" t="inlineStr">
        <is>
          <t>내용</t>
        </is>
      </c>
      <c r="D30" s="9" t="inlineStr">
        <is>
          <t>금액</t>
        </is>
      </c>
    </row>
    <row r="31">
      <c r="B31" s="10" t="inlineStr">
        <is>
          <t>7월 목돈</t>
        </is>
      </c>
      <c r="C31" s="10" t="inlineStr">
        <is>
          <t>목돈 2,000만원</t>
        </is>
      </c>
      <c r="D31" s="12" t="n">
        <v>20000000</v>
      </c>
    </row>
    <row r="32">
      <c r="B32" s="13" t="inlineStr">
        <is>
          <t>ISA 합계</t>
        </is>
      </c>
      <c r="D32" s="14">
        <f>SUM(D31:D31)</f>
        <v/>
      </c>
    </row>
    <row r="34">
      <c r="B34" s="19" t="inlineStr">
        <is>
          <t>※ 공과금(전기·가스·수도·인터넷)은 2인 투룸 12평 예상치
※ 윌리엄 780만원 무이자 12개월 → 월 65만원 (영재)
※ 영재 ISA 목돈 2천만원 — 7월 일시불 (월정산 합계 제외)</t>
        </is>
      </c>
    </row>
    <row r="35"/>
  </sheetData>
  <mergeCells count="5">
    <mergeCell ref="B1:H1"/>
    <mergeCell ref="B23:C23"/>
    <mergeCell ref="B2:H2"/>
    <mergeCell ref="B34:H35"/>
    <mergeCell ref="B29:D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2026-06-24T13:35:55Z</dcterms:created>
  <dcterms:modified xsi:type="dcterms:W3CDTF">2026-06-24T13:35:55Z</dcterms:modified>
</cp:coreProperties>
</file>